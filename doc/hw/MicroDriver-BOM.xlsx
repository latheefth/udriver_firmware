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Personal\NoFra\MicroDriver\Assembly\microDriver_v2_assembly\"/>
    </mc:Choice>
  </mc:AlternateContent>
  <xr:revisionPtr revIDLastSave="0" documentId="13_ncr:1_{3EDEE65E-83E3-412A-9470-7A0EE1957BF6}" xr6:coauthVersionLast="47" xr6:coauthVersionMax="47" xr10:uidLastSave="{00000000-0000-0000-0000-000000000000}"/>
  <bookViews>
    <workbookView xWindow="-289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18" i="1"/>
  <c r="G5" i="1"/>
  <c r="G6" i="1"/>
  <c r="G7" i="1"/>
  <c r="G8" i="1"/>
  <c r="G9" i="1"/>
  <c r="G11" i="1"/>
  <c r="G12" i="1"/>
  <c r="G13" i="1"/>
  <c r="G14" i="1"/>
  <c r="G15" i="1"/>
  <c r="G16" i="1"/>
  <c r="G17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" i="1"/>
  <c r="G4" i="1"/>
  <c r="G2" i="1"/>
</calcChain>
</file>

<file path=xl/sharedStrings.xml><?xml version="1.0" encoding="utf-8"?>
<sst xmlns="http://schemas.openxmlformats.org/spreadsheetml/2006/main" count="170" uniqueCount="136">
  <si>
    <t>Comment</t>
  </si>
  <si>
    <t>Designator</t>
  </si>
  <si>
    <t>Footprint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</si>
  <si>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</si>
  <si>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U1</t>
  </si>
  <si>
    <t>C10, C11, C17, C48, C50, C51, C52, C53, C54, C55, C59, C61</t>
  </si>
  <si>
    <t>C13, C14, C15, C41, C42, C49, C56, C57, C66, C67</t>
  </si>
  <si>
    <t>C12, C16, C18, C24, C35, C36, C37, C38, C39, C40, C58, C60, C62</t>
  </si>
  <si>
    <t>C25, C33, C34, C63, C64, C65</t>
  </si>
  <si>
    <t>C3, C4, C8, C31, C32, C43, C44, C46, C69, C71, C72</t>
  </si>
  <si>
    <t>C68</t>
  </si>
  <si>
    <t>C1, C2, C5, C6, C9, C19, C20, C21, C22, C23, C26, C27, C28, C29, C30, C47</t>
  </si>
  <si>
    <t>C7, C45</t>
  </si>
  <si>
    <t>C70</t>
  </si>
  <si>
    <t>I1</t>
  </si>
  <si>
    <t>T5, T6</t>
  </si>
  <si>
    <t>D1</t>
  </si>
  <si>
    <t>D2, D3</t>
  </si>
  <si>
    <t>D4</t>
  </si>
  <si>
    <t>D5</t>
  </si>
  <si>
    <t>L1</t>
  </si>
  <si>
    <t>L2</t>
  </si>
  <si>
    <t>R43, R44</t>
  </si>
  <si>
    <t>R3, R4, R5, R24, R25, R26</t>
  </si>
  <si>
    <t>R20, R21</t>
  </si>
  <si>
    <t>R1, R34</t>
  </si>
  <si>
    <t>R19, R22, R38, R39</t>
  </si>
  <si>
    <t>R13, R29, R46, R47, R48, R49</t>
  </si>
  <si>
    <t>R6, R10, R18</t>
  </si>
  <si>
    <t>R9, R14, R17, R30, R33, R40, R45</t>
  </si>
  <si>
    <t>R2, R23, R35, R42</t>
  </si>
  <si>
    <t>R8, R12, R16, R28, R32, R37, R41</t>
  </si>
  <si>
    <t>Q1, Q2, Q3, Q4, Q5, Q6, Q7, Q8, Q9, Q10, Q11, Q12</t>
  </si>
  <si>
    <t>U2</t>
  </si>
  <si>
    <t>U3</t>
  </si>
  <si>
    <t>U4</t>
  </si>
  <si>
    <t>U5, U6</t>
  </si>
  <si>
    <t>U7</t>
  </si>
  <si>
    <t>U8</t>
  </si>
  <si>
    <t>B1</t>
  </si>
  <si>
    <t>M1</t>
  </si>
  <si>
    <t>1000pF, 10%, 50V, X7R</t>
  </si>
  <si>
    <t>0.047uF, 10%, 10V, X5R</t>
  </si>
  <si>
    <t>0.1uF, 10%, 16V, X7R</t>
  </si>
  <si>
    <t>0.47uF, 10%, 25V, X5R</t>
  </si>
  <si>
    <t>1.0uF, 10%, 10V, X5R</t>
  </si>
  <si>
    <t>1.0uF, 10%, 35V, X5R</t>
  </si>
  <si>
    <t>2.2uF, 16%, 10V, X5R</t>
  </si>
  <si>
    <t>4.7uF, 10%, 50V, X5R</t>
  </si>
  <si>
    <t>10uF, 20%, 6.3V, X5R</t>
  </si>
  <si>
    <t>47uH 420mA 780mOhm</t>
  </si>
  <si>
    <t>100uF, 10%, 25V, 300mOhm</t>
  </si>
  <si>
    <t>green, 2V, 35mcd @ 20mA</t>
  </si>
  <si>
    <t>red, 2V, 54mcd @ 20mA</t>
  </si>
  <si>
    <t>orange, 2V, 90mcd @ 20mA</t>
  </si>
  <si>
    <t>yellow, 2.1V, 104mcd @ 20mA</t>
  </si>
  <si>
    <t>220 Ohm @ 100MHz</t>
  </si>
  <si>
    <t>60 Ohm @ 100MHz</t>
  </si>
  <si>
    <t>0 ohm, 1/16W</t>
  </si>
  <si>
    <t>56 ohm, 1%, 1/16W</t>
  </si>
  <si>
    <t>100 ohm, 1%, 1/16W</t>
  </si>
  <si>
    <t>120 ohm, 1%, 1/16W</t>
  </si>
  <si>
    <t>330 ohm, 1%, 1/16W</t>
  </si>
  <si>
    <t>1k, 1%, 1/16W</t>
  </si>
  <si>
    <t>2.2k, 1%, 1/16W</t>
  </si>
  <si>
    <t>4.99k, 0.1%, 1/16W</t>
  </si>
  <si>
    <t>10k, 1%, 1/16W</t>
  </si>
  <si>
    <t>62.0k, 0.1%, 1/16W</t>
  </si>
  <si>
    <t>N-ch, 60V, 100A</t>
  </si>
  <si>
    <t>32bit, 250kb flash, 90MHz</t>
  </si>
  <si>
    <t>dual non-inverting buffer</t>
  </si>
  <si>
    <t>1/1 transciever</t>
  </si>
  <si>
    <t>6-ch bidirectional</t>
  </si>
  <si>
    <t>3-Ph, 4.4-45V, 3.3V reg</t>
  </si>
  <si>
    <t>5.0V 300mA switching regulator</t>
  </si>
  <si>
    <t>3.3V 300mA</t>
  </si>
  <si>
    <t>SPST-NO momentary, 153gf</t>
  </si>
  <si>
    <t>8-pos receptacle</t>
  </si>
  <si>
    <t>0402</t>
  </si>
  <si>
    <t>0603</t>
  </si>
  <si>
    <t>0805</t>
  </si>
  <si>
    <t>nstd</t>
  </si>
  <si>
    <t>M7343</t>
  </si>
  <si>
    <t>SMD</t>
  </si>
  <si>
    <t>PQFP-100</t>
  </si>
  <si>
    <t>SOT23-6</t>
  </si>
  <si>
    <t>SOIC-8</t>
  </si>
  <si>
    <t>VQFN-N16</t>
  </si>
  <si>
    <t>HTQFP-48</t>
  </si>
  <si>
    <t>8-WFDFN</t>
  </si>
  <si>
    <t>6-WSON</t>
  </si>
  <si>
    <t>PTH</t>
  </si>
  <si>
    <t>C1346022</t>
  </si>
  <si>
    <t>C37708</t>
  </si>
  <si>
    <t>C99818</t>
  </si>
  <si>
    <t>C2652978</t>
  </si>
  <si>
    <t>C206046</t>
  </si>
  <si>
    <t>C143362</t>
  </si>
  <si>
    <t>C2871361</t>
  </si>
  <si>
    <t>C231329</t>
  </si>
  <si>
    <t>C5409364</t>
  </si>
  <si>
    <t>C77018</t>
  </si>
  <si>
    <t>C2167445</t>
  </si>
  <si>
    <t>*</t>
  </si>
  <si>
    <t>C913742</t>
  </si>
  <si>
    <t>C711580</t>
  </si>
  <si>
    <t>C106254</t>
  </si>
  <si>
    <t>C478859</t>
  </si>
  <si>
    <t>C710865</t>
  </si>
  <si>
    <t>C98192</t>
  </si>
  <si>
    <t>C15525</t>
  </si>
  <si>
    <t>C223059</t>
  </si>
  <si>
    <t>C132558</t>
  </si>
  <si>
    <t>C125099</t>
  </si>
  <si>
    <t>Red(Green NA)</t>
  </si>
  <si>
    <t>C160478</t>
  </si>
  <si>
    <t>C125100</t>
  </si>
  <si>
    <t>C92877</t>
  </si>
  <si>
    <t>C88969</t>
  </si>
  <si>
    <t>C60485</t>
  </si>
  <si>
    <t>C413058</t>
  </si>
  <si>
    <t>C106232</t>
  </si>
  <si>
    <t>C413065</t>
  </si>
  <si>
    <t>C105875</t>
  </si>
  <si>
    <t>C106235</t>
  </si>
  <si>
    <t>C114762</t>
  </si>
  <si>
    <t>C852823</t>
  </si>
  <si>
    <t>C60490</t>
  </si>
  <si>
    <t>C852874</t>
  </si>
  <si>
    <t>C86513</t>
  </si>
  <si>
    <t>Red</t>
  </si>
  <si>
    <t>QTY</t>
  </si>
  <si>
    <t>C387940</t>
  </si>
  <si>
    <t>C481935</t>
  </si>
  <si>
    <t>Refund</t>
  </si>
  <si>
    <t>Replacement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</si>
</sst>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宋体"/>
      <charset val="134"/>
    </font>
    <font>
      <sz val="11"/>
      <color rgb="FF000000"/>
      <name val="Arial"/>
      <charset val="1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  <font>
      <sz val="11"/>
      <color rgb="FF000000"/>
      <name val="Arial"/>
      <family val="2"/>
    </font>
    <font>
      <sz val="10"/>
      <color indexed="9"/>
      <name val="Arial"/>
    </font>
    <font>
      <sz val="8"/>
      <color rgb="FF222222"/>
      <name val="Microsoft YaHei"/>
      <family val="2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49" fontId="6" fillId="3" borderId="5" xfId="0" applyNumberFormat="1" applyFont="1" applyFill="1" applyBorder="1" applyAlignment="1">
      <alignment horizontal="center"/>
    </xf>
    <xf numFmtId="3" fontId="0" fillId="4" borderId="6" xfId="0" applyNumberFormat="1" applyFill="1" applyBorder="1" applyAlignment="1">
      <alignment horizontal="center"/>
    </xf>
    <xf numFmtId="3" fontId="0" fillId="4" borderId="7" xfId="0" applyNumberFormat="1" applyFill="1" applyBorder="1" applyAlignment="1">
      <alignment horizontal="center"/>
    </xf>
    <xf numFmtId="3" fontId="0" fillId="4" borderId="8" xfId="0" applyNumberFormat="1" applyFill="1" applyBorder="1" applyAlignment="1">
      <alignment horizontal="center"/>
    </xf>
    <xf numFmtId="3" fontId="0" fillId="4" borderId="0" xfId="0" applyNumberFormat="1" applyFill="1" applyAlignment="1">
      <alignment horizontal="center"/>
    </xf>
    <xf numFmtId="0" fontId="0" fillId="0" borderId="0" xfId="0" applyAlignment="1"/>
    <xf numFmtId="0" fontId="1" fillId="2" borderId="0" xfId="0" applyFont="1" applyFill="1">
      <alignment vertical="center"/>
    </xf>
    <xf numFmtId="0" fontId="7" fillId="0" borderId="0" xfId="0" applyFont="1">
      <alignment vertical="center"/>
    </xf>
    <xf numFmtId="0" fontId="1" fillId="0" borderId="4" xfId="0" applyFont="1" applyBorder="1" applyAlignment="1">
      <alignment horizontal="left" vertical="center"/>
    </xf>
    <xf numFmtId="0" fontId="8" fillId="0" borderId="4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topLeftCell="A11" workbookViewId="0">
      <selection activeCell="H34" sqref="H34"/>
    </sheetView>
  </sheetViews>
  <sheetFormatPr defaultColWidth="8.88671875" defaultRowHeight="19.95" customHeight="1"/>
  <cols>
    <col min="1" max="1" width="26" style="3" customWidth="1"/>
    <col min="2" max="2" width="56.21875" style="3" customWidth="1"/>
    <col min="3" max="3" width="36.109375" style="3" customWidth="1"/>
    <col min="4" max="4" width="24.44140625" customWidth="1"/>
    <col min="6" max="6" width="7.21875" style="16" customWidth="1"/>
    <col min="11" max="11" width="20.88671875" customWidth="1"/>
    <col min="12" max="12" width="31.5546875" customWidth="1"/>
  </cols>
  <sheetData>
    <row r="1" spans="1:12" ht="19.95" customHeight="1">
      <c r="A1" s="2" t="s">
        <v>0</v>
      </c>
      <c r="B1" s="2" t="s">
        <v>1</v>
      </c>
      <c r="C1" s="2" t="s">
        <v>2</v>
      </c>
      <c r="D1" s="8" t="s">
        <v>3</v>
      </c>
      <c r="E1">
        <v>5</v>
      </c>
      <c r="F1" s="11" t="s">
        <v>131</v>
      </c>
    </row>
    <row r="2" spans="1:12" s="1" customFormat="1" ht="19.95" customHeight="1">
      <c r="A2" s="3" t="s">
        <v>41</v>
      </c>
      <c r="B2" s="3" t="s">
        <v>5</v>
      </c>
      <c r="C2" s="3" t="s">
        <v>78</v>
      </c>
      <c r="D2" s="10" t="s">
        <v>101</v>
      </c>
      <c r="F2" s="12">
        <v>12</v>
      </c>
      <c r="G2" s="17">
        <f>F2*$E$1</f>
        <v>60</v>
      </c>
    </row>
    <row r="3" spans="1:12" s="1" customFormat="1" ht="19.95" customHeight="1">
      <c r="A3" s="3" t="s">
        <v>42</v>
      </c>
      <c r="B3" s="3" t="s">
        <v>6</v>
      </c>
      <c r="C3" s="3" t="s">
        <v>78</v>
      </c>
      <c r="D3" s="3" t="s">
        <v>102</v>
      </c>
      <c r="E3" s="1" t="s">
        <v>103</v>
      </c>
      <c r="F3" s="13">
        <v>10</v>
      </c>
      <c r="G3" s="17">
        <f t="shared" ref="G3:G38" si="0">F3*$E$1</f>
        <v>50</v>
      </c>
      <c r="K3" s="20" t="s">
        <v>134</v>
      </c>
      <c r="L3" s="20" t="s">
        <v>135</v>
      </c>
    </row>
    <row r="4" spans="1:12" s="1" customFormat="1" ht="19.95" customHeight="1">
      <c r="A4" s="3" t="s">
        <v>43</v>
      </c>
      <c r="B4" s="3" t="s">
        <v>7</v>
      </c>
      <c r="C4" s="3" t="s">
        <v>78</v>
      </c>
      <c r="D4" s="3" t="s">
        <v>104</v>
      </c>
      <c r="E4" s="1" t="s">
        <v>103</v>
      </c>
      <c r="F4" s="13">
        <v>13</v>
      </c>
      <c r="G4" s="17">
        <f t="shared" si="0"/>
        <v>65</v>
      </c>
      <c r="H4" s="18" t="s">
        <v>132</v>
      </c>
      <c r="K4" s="19" t="s">
        <v>104</v>
      </c>
      <c r="L4" s="19" t="s">
        <v>132</v>
      </c>
    </row>
    <row r="5" spans="1:12" s="1" customFormat="1" ht="19.95" customHeight="1">
      <c r="A5" s="3" t="s">
        <v>44</v>
      </c>
      <c r="B5" s="3" t="s">
        <v>8</v>
      </c>
      <c r="C5" s="3" t="s">
        <v>78</v>
      </c>
      <c r="D5" s="10" t="s">
        <v>105</v>
      </c>
      <c r="F5" s="13">
        <v>6</v>
      </c>
      <c r="G5" s="17">
        <f t="shared" si="0"/>
        <v>30</v>
      </c>
      <c r="K5" s="19" t="s">
        <v>122</v>
      </c>
      <c r="L5" s="19" t="s">
        <v>133</v>
      </c>
    </row>
    <row r="6" spans="1:12" s="1" customFormat="1" ht="19.95" customHeight="1">
      <c r="A6" s="3" t="s">
        <v>45</v>
      </c>
      <c r="B6" s="3" t="s">
        <v>9</v>
      </c>
      <c r="C6" s="3" t="s">
        <v>78</v>
      </c>
      <c r="D6" s="10" t="s">
        <v>106</v>
      </c>
      <c r="F6" s="13">
        <v>11</v>
      </c>
      <c r="G6" s="17">
        <f t="shared" si="0"/>
        <v>55</v>
      </c>
    </row>
    <row r="7" spans="1:12" s="1" customFormat="1" ht="19.95" customHeight="1">
      <c r="A7" s="3" t="s">
        <v>46</v>
      </c>
      <c r="B7" s="3" t="s">
        <v>10</v>
      </c>
      <c r="C7" s="3" t="s">
        <v>79</v>
      </c>
      <c r="D7" s="10" t="s">
        <v>107</v>
      </c>
      <c r="F7" s="13">
        <v>1</v>
      </c>
      <c r="G7" s="17">
        <f t="shared" si="0"/>
        <v>5</v>
      </c>
    </row>
    <row r="8" spans="1:12" s="1" customFormat="1" ht="19.95" customHeight="1">
      <c r="A8" s="3" t="s">
        <v>47</v>
      </c>
      <c r="B8" s="3" t="s">
        <v>11</v>
      </c>
      <c r="C8" s="3" t="s">
        <v>78</v>
      </c>
      <c r="D8" s="4" t="s">
        <v>108</v>
      </c>
      <c r="E8" s="1" t="s">
        <v>103</v>
      </c>
      <c r="F8" s="13">
        <v>16</v>
      </c>
      <c r="G8" s="17">
        <f t="shared" si="0"/>
        <v>80</v>
      </c>
      <c r="H8" s="1">
        <v>4.25</v>
      </c>
    </row>
    <row r="9" spans="1:12" ht="19.95" customHeight="1">
      <c r="A9" s="3" t="s">
        <v>48</v>
      </c>
      <c r="B9" s="3" t="s">
        <v>12</v>
      </c>
      <c r="C9" s="3" t="s">
        <v>80</v>
      </c>
      <c r="D9" s="9" t="s">
        <v>109</v>
      </c>
      <c r="F9" s="13">
        <v>2</v>
      </c>
      <c r="G9" s="17">
        <f t="shared" si="0"/>
        <v>10</v>
      </c>
    </row>
    <row r="10" spans="1:12" ht="19.95" customHeight="1">
      <c r="A10" s="3" t="s">
        <v>49</v>
      </c>
      <c r="B10" s="3" t="s">
        <v>13</v>
      </c>
      <c r="C10" s="3" t="s">
        <v>78</v>
      </c>
      <c r="D10" s="9" t="s">
        <v>110</v>
      </c>
      <c r="F10" s="13">
        <v>1</v>
      </c>
      <c r="G10" s="17">
        <f>F10*$E$1</f>
        <v>5</v>
      </c>
    </row>
    <row r="11" spans="1:12" ht="19.95" customHeight="1">
      <c r="A11" s="3" t="s">
        <v>50</v>
      </c>
      <c r="B11" s="3" t="s">
        <v>14</v>
      </c>
      <c r="C11" s="3" t="s">
        <v>81</v>
      </c>
      <c r="D11" s="3" t="s">
        <v>111</v>
      </c>
      <c r="E11" s="5" t="s">
        <v>103</v>
      </c>
      <c r="F11" s="13">
        <v>1</v>
      </c>
      <c r="G11" s="17">
        <f t="shared" si="0"/>
        <v>5</v>
      </c>
      <c r="H11">
        <v>7.19</v>
      </c>
    </row>
    <row r="12" spans="1:12" ht="19.95" customHeight="1">
      <c r="A12" s="3" t="s">
        <v>51</v>
      </c>
      <c r="B12" s="3" t="s">
        <v>15</v>
      </c>
      <c r="C12" s="3" t="s">
        <v>82</v>
      </c>
      <c r="D12" s="10" t="s">
        <v>112</v>
      </c>
      <c r="F12" s="13">
        <v>2</v>
      </c>
      <c r="G12" s="17">
        <f t="shared" si="0"/>
        <v>10</v>
      </c>
    </row>
    <row r="13" spans="1:12" ht="19.95" customHeight="1">
      <c r="A13" s="3" t="s">
        <v>52</v>
      </c>
      <c r="B13" s="3" t="s">
        <v>16</v>
      </c>
      <c r="C13" s="3" t="s">
        <v>79</v>
      </c>
      <c r="D13" s="10" t="s">
        <v>113</v>
      </c>
      <c r="E13" s="6" t="s">
        <v>114</v>
      </c>
      <c r="F13" s="13">
        <v>1</v>
      </c>
      <c r="G13" s="17">
        <f t="shared" si="0"/>
        <v>5</v>
      </c>
    </row>
    <row r="14" spans="1:12" ht="19.95" customHeight="1">
      <c r="A14" s="3" t="s">
        <v>53</v>
      </c>
      <c r="B14" s="3" t="s">
        <v>17</v>
      </c>
      <c r="C14" s="3" t="s">
        <v>79</v>
      </c>
      <c r="D14" s="10" t="s">
        <v>113</v>
      </c>
      <c r="E14" s="5" t="s">
        <v>130</v>
      </c>
      <c r="F14" s="14">
        <v>2</v>
      </c>
      <c r="G14" s="17">
        <f t="shared" si="0"/>
        <v>10</v>
      </c>
    </row>
    <row r="15" spans="1:12" ht="19.95" customHeight="1">
      <c r="A15" s="3" t="s">
        <v>54</v>
      </c>
      <c r="B15" s="3" t="s">
        <v>18</v>
      </c>
      <c r="C15" s="3" t="s">
        <v>79</v>
      </c>
      <c r="D15" s="9" t="s">
        <v>115</v>
      </c>
      <c r="F15" s="15">
        <v>1</v>
      </c>
      <c r="G15" s="17">
        <f t="shared" si="0"/>
        <v>5</v>
      </c>
    </row>
    <row r="16" spans="1:12" ht="19.95" customHeight="1">
      <c r="A16" s="3" t="s">
        <v>55</v>
      </c>
      <c r="B16" s="3" t="s">
        <v>19</v>
      </c>
      <c r="C16" s="3" t="s">
        <v>79</v>
      </c>
      <c r="D16" s="9" t="s">
        <v>116</v>
      </c>
      <c r="F16" s="12">
        <v>1</v>
      </c>
      <c r="G16" s="17">
        <f t="shared" si="0"/>
        <v>5</v>
      </c>
    </row>
    <row r="17" spans="1:8" ht="19.95" customHeight="1">
      <c r="A17" s="3" t="s">
        <v>56</v>
      </c>
      <c r="B17" s="3" t="s">
        <v>20</v>
      </c>
      <c r="C17" s="3" t="s">
        <v>78</v>
      </c>
      <c r="D17" s="4" t="s">
        <v>117</v>
      </c>
      <c r="E17" s="7" t="s">
        <v>103</v>
      </c>
      <c r="F17" s="13">
        <v>1</v>
      </c>
      <c r="G17" s="17">
        <f t="shared" si="0"/>
        <v>5</v>
      </c>
    </row>
    <row r="18" spans="1:8" ht="19.95" customHeight="1">
      <c r="A18" s="3" t="s">
        <v>57</v>
      </c>
      <c r="B18" s="3" t="s">
        <v>21</v>
      </c>
      <c r="C18" s="3" t="s">
        <v>78</v>
      </c>
      <c r="D18" s="9" t="s">
        <v>118</v>
      </c>
      <c r="F18" s="13">
        <v>1</v>
      </c>
      <c r="G18" s="17">
        <f>F18*$E$1</f>
        <v>5</v>
      </c>
    </row>
    <row r="19" spans="1:8" ht="19.95" customHeight="1">
      <c r="A19" s="3" t="s">
        <v>58</v>
      </c>
      <c r="B19" s="3" t="s">
        <v>22</v>
      </c>
      <c r="C19" s="3" t="s">
        <v>78</v>
      </c>
      <c r="D19" s="9" t="s">
        <v>119</v>
      </c>
      <c r="F19" s="13">
        <v>2</v>
      </c>
      <c r="G19" s="17">
        <f t="shared" si="0"/>
        <v>10</v>
      </c>
    </row>
    <row r="20" spans="1:8" ht="19.95" customHeight="1">
      <c r="A20" s="3" t="s">
        <v>59</v>
      </c>
      <c r="B20" s="3" t="s">
        <v>23</v>
      </c>
      <c r="C20" s="3" t="s">
        <v>78</v>
      </c>
      <c r="D20" s="9" t="s">
        <v>120</v>
      </c>
      <c r="F20" s="13">
        <v>6</v>
      </c>
      <c r="G20" s="17">
        <f t="shared" si="0"/>
        <v>30</v>
      </c>
    </row>
    <row r="21" spans="1:8" ht="19.95" customHeight="1">
      <c r="A21" s="3" t="s">
        <v>60</v>
      </c>
      <c r="B21" s="3" t="s">
        <v>24</v>
      </c>
      <c r="C21" s="3" t="s">
        <v>78</v>
      </c>
      <c r="D21" s="9" t="s">
        <v>121</v>
      </c>
      <c r="F21" s="13">
        <v>2</v>
      </c>
      <c r="G21" s="17">
        <f t="shared" si="0"/>
        <v>10</v>
      </c>
    </row>
    <row r="22" spans="1:8" ht="19.95" customHeight="1">
      <c r="A22" s="3" t="s">
        <v>61</v>
      </c>
      <c r="B22" s="3" t="s">
        <v>25</v>
      </c>
      <c r="C22" s="3" t="s">
        <v>78</v>
      </c>
      <c r="D22" s="4" t="s">
        <v>122</v>
      </c>
      <c r="E22" s="6" t="s">
        <v>103</v>
      </c>
      <c r="F22" s="13">
        <v>2</v>
      </c>
      <c r="G22" s="17">
        <f t="shared" si="0"/>
        <v>10</v>
      </c>
      <c r="H22" t="s">
        <v>133</v>
      </c>
    </row>
    <row r="23" spans="1:8" ht="19.95" customHeight="1">
      <c r="A23" s="3" t="s">
        <v>62</v>
      </c>
      <c r="B23" s="3" t="s">
        <v>26</v>
      </c>
      <c r="C23" s="3" t="s">
        <v>78</v>
      </c>
      <c r="D23" s="9" t="s">
        <v>123</v>
      </c>
      <c r="F23" s="13">
        <v>4</v>
      </c>
      <c r="G23" s="17">
        <f t="shared" si="0"/>
        <v>20</v>
      </c>
    </row>
    <row r="24" spans="1:8" ht="19.95" customHeight="1">
      <c r="A24" s="3" t="s">
        <v>63</v>
      </c>
      <c r="B24" s="3" t="s">
        <v>27</v>
      </c>
      <c r="C24" s="3" t="s">
        <v>78</v>
      </c>
      <c r="D24" s="9" t="s">
        <v>124</v>
      </c>
      <c r="F24" s="13">
        <v>6</v>
      </c>
      <c r="G24" s="17">
        <f t="shared" si="0"/>
        <v>30</v>
      </c>
    </row>
    <row r="25" spans="1:8" ht="19.95" customHeight="1">
      <c r="A25" s="3" t="s">
        <v>64</v>
      </c>
      <c r="B25" s="3" t="s">
        <v>28</v>
      </c>
      <c r="C25" s="3" t="s">
        <v>78</v>
      </c>
      <c r="D25" s="9" t="s">
        <v>125</v>
      </c>
      <c r="F25" s="13">
        <v>3</v>
      </c>
      <c r="G25" s="17">
        <f t="shared" si="0"/>
        <v>15</v>
      </c>
    </row>
    <row r="26" spans="1:8" ht="19.95" customHeight="1">
      <c r="A26" s="3" t="s">
        <v>65</v>
      </c>
      <c r="B26" s="3" t="s">
        <v>29</v>
      </c>
      <c r="C26" s="3" t="s">
        <v>78</v>
      </c>
      <c r="D26" s="9" t="s">
        <v>126</v>
      </c>
      <c r="F26" s="13">
        <v>7</v>
      </c>
      <c r="G26" s="17">
        <f t="shared" si="0"/>
        <v>35</v>
      </c>
    </row>
    <row r="27" spans="1:8" ht="19.95" customHeight="1">
      <c r="A27" s="3" t="s">
        <v>66</v>
      </c>
      <c r="B27" s="3" t="s">
        <v>30</v>
      </c>
      <c r="C27" s="3" t="s">
        <v>78</v>
      </c>
      <c r="D27" s="9" t="s">
        <v>127</v>
      </c>
      <c r="F27" s="13">
        <v>4</v>
      </c>
      <c r="G27" s="17">
        <f t="shared" si="0"/>
        <v>20</v>
      </c>
    </row>
    <row r="28" spans="1:8" ht="19.95" customHeight="1">
      <c r="A28" s="3" t="s">
        <v>67</v>
      </c>
      <c r="B28" s="3" t="s">
        <v>31</v>
      </c>
      <c r="C28" s="3" t="s">
        <v>78</v>
      </c>
      <c r="D28" s="9" t="s">
        <v>128</v>
      </c>
      <c r="F28" s="13">
        <v>7</v>
      </c>
      <c r="G28" s="17">
        <f t="shared" si="0"/>
        <v>35</v>
      </c>
    </row>
    <row r="29" spans="1:8" ht="19.95" customHeight="1">
      <c r="A29" s="3" t="s">
        <v>68</v>
      </c>
      <c r="B29" s="3" t="s">
        <v>32</v>
      </c>
      <c r="C29" s="3" t="s">
        <v>83</v>
      </c>
      <c r="D29" s="9" t="s">
        <v>129</v>
      </c>
      <c r="F29" s="13">
        <v>12</v>
      </c>
      <c r="G29" s="17">
        <f t="shared" si="0"/>
        <v>60</v>
      </c>
    </row>
    <row r="30" spans="1:8" ht="19.95" customHeight="1">
      <c r="A30" s="3" t="s">
        <v>69</v>
      </c>
      <c r="B30" s="3" t="s">
        <v>4</v>
      </c>
      <c r="C30" s="3" t="s">
        <v>84</v>
      </c>
      <c r="D30" s="9" t="s">
        <v>92</v>
      </c>
      <c r="F30" s="13">
        <v>1</v>
      </c>
      <c r="G30" s="17">
        <f t="shared" si="0"/>
        <v>5</v>
      </c>
    </row>
    <row r="31" spans="1:8" ht="19.95" customHeight="1">
      <c r="A31" s="3" t="s">
        <v>70</v>
      </c>
      <c r="B31" s="3" t="s">
        <v>33</v>
      </c>
      <c r="C31" s="3" t="s">
        <v>85</v>
      </c>
      <c r="D31" s="9" t="s">
        <v>93</v>
      </c>
      <c r="F31" s="13">
        <v>1</v>
      </c>
      <c r="G31" s="17">
        <f t="shared" si="0"/>
        <v>5</v>
      </c>
    </row>
    <row r="32" spans="1:8" ht="19.95" customHeight="1">
      <c r="A32" s="3" t="s">
        <v>71</v>
      </c>
      <c r="B32" s="3" t="s">
        <v>34</v>
      </c>
      <c r="C32" s="3" t="s">
        <v>86</v>
      </c>
      <c r="D32" s="9" t="s">
        <v>94</v>
      </c>
      <c r="F32" s="13">
        <v>1</v>
      </c>
      <c r="G32" s="17">
        <f t="shared" si="0"/>
        <v>5</v>
      </c>
    </row>
    <row r="33" spans="1:8" ht="19.95" customHeight="1">
      <c r="A33" s="3" t="s">
        <v>72</v>
      </c>
      <c r="B33" s="3" t="s">
        <v>35</v>
      </c>
      <c r="C33" s="3" t="s">
        <v>87</v>
      </c>
      <c r="D33" s="9" t="s">
        <v>95</v>
      </c>
      <c r="F33" s="13">
        <v>1</v>
      </c>
      <c r="G33" s="17">
        <f t="shared" si="0"/>
        <v>5</v>
      </c>
    </row>
    <row r="34" spans="1:8" ht="19.95" customHeight="1">
      <c r="A34" s="3" t="s">
        <v>73</v>
      </c>
      <c r="B34" s="3" t="s">
        <v>36</v>
      </c>
      <c r="C34" s="3" t="s">
        <v>88</v>
      </c>
      <c r="D34" s="4" t="s">
        <v>96</v>
      </c>
      <c r="E34" s="5" t="s">
        <v>103</v>
      </c>
      <c r="F34" s="13">
        <v>2</v>
      </c>
      <c r="G34" s="17">
        <f t="shared" si="0"/>
        <v>10</v>
      </c>
      <c r="H34">
        <v>34.79</v>
      </c>
    </row>
    <row r="35" spans="1:8" ht="19.95" customHeight="1">
      <c r="A35" s="3" t="s">
        <v>74</v>
      </c>
      <c r="B35" s="3" t="s">
        <v>37</v>
      </c>
      <c r="C35" s="3" t="s">
        <v>89</v>
      </c>
      <c r="D35" s="9" t="s">
        <v>97</v>
      </c>
      <c r="F35" s="13">
        <v>1</v>
      </c>
      <c r="G35" s="17">
        <f t="shared" si="0"/>
        <v>5</v>
      </c>
    </row>
    <row r="36" spans="1:8" ht="19.95" customHeight="1">
      <c r="A36" s="3" t="s">
        <v>75</v>
      </c>
      <c r="B36" s="3" t="s">
        <v>38</v>
      </c>
      <c r="C36" s="3" t="s">
        <v>90</v>
      </c>
      <c r="D36" s="9" t="s">
        <v>98</v>
      </c>
      <c r="F36" s="13">
        <v>1</v>
      </c>
      <c r="G36" s="17">
        <f t="shared" si="0"/>
        <v>5</v>
      </c>
    </row>
    <row r="37" spans="1:8" ht="19.95" customHeight="1">
      <c r="A37" s="3" t="s">
        <v>76</v>
      </c>
      <c r="B37" s="3" t="s">
        <v>39</v>
      </c>
      <c r="C37" s="3" t="s">
        <v>83</v>
      </c>
      <c r="D37" s="9" t="s">
        <v>99</v>
      </c>
      <c r="F37" s="13">
        <v>1</v>
      </c>
      <c r="G37" s="17">
        <f t="shared" si="0"/>
        <v>5</v>
      </c>
    </row>
    <row r="38" spans="1:8" ht="19.95" customHeight="1">
      <c r="A38" s="3" t="s">
        <v>77</v>
      </c>
      <c r="B38" s="3" t="s">
        <v>40</v>
      </c>
      <c r="C38" s="3" t="s">
        <v>91</v>
      </c>
      <c r="D38" s="10" t="s">
        <v>100</v>
      </c>
      <c r="F38" s="13">
        <v>1</v>
      </c>
      <c r="G38" s="17">
        <f t="shared" si="0"/>
        <v>5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Abdul Latheef Habeeb</cp:lastModifiedBy>
  <cp:revision>2</cp:revision>
  <dcterms:created xsi:type="dcterms:W3CDTF">2019-07-31T07:14:00Z</dcterms:created>
  <dcterms:modified xsi:type="dcterms:W3CDTF">2025-09-12T17:06:53Z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